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 CHINE 中国采购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74151"/>
      <sz val="9"/>
    </font>
    <font>
      <name val="Arial"/>
      <i val="1"/>
      <color rgb="000F6E56"/>
      <sz val="9"/>
    </font>
    <font>
      <name val="Arial"/>
      <b val="1"/>
      <color rgb="00FFFFFF"/>
      <sz val="8"/>
    </font>
    <font>
      <name val="Arial"/>
      <b val="1"/>
      <color rgb="001E3A5F"/>
      <sz val="9"/>
    </font>
    <font>
      <name val="Arial"/>
      <color rgb="00000000"/>
      <sz val="9"/>
    </font>
    <font>
      <name val="Arial"/>
      <i val="1"/>
      <color rgb="0092400E"/>
      <sz val="8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74151"/>
      </patternFill>
    </fill>
    <fill>
      <patternFill patternType="solid">
        <fgColor rgb="00FFF9C4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FFFFFF"/>
      </patternFill>
    </fill>
    <fill>
      <patternFill patternType="solid">
        <fgColor rgb="00FEF3E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8" customWidth="1" min="4" max="4"/>
    <col width="26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28" customWidth="1" min="14" max="14"/>
    <col width="12" customWidth="1" min="15" max="15"/>
    <col width="16" customWidth="1" min="16" max="16"/>
    <col width="18" customWidth="1" min="17" max="17"/>
    <col width="18" customWidth="1" min="18" max="18"/>
    <col width="14" customWidth="1" min="19" max="19"/>
    <col width="14" customWidth="1" min="20" max="20"/>
    <col width="12" customWidth="1" min="21" max="21"/>
    <col width="14" customWidth="1" min="22" max="22"/>
    <col width="20" customWidth="1" min="23" max="23"/>
    <col width="16" customWidth="1" min="24" max="24"/>
  </cols>
  <sheetData>
    <row r="1" ht="28" customHeight="1">
      <c r="A1" s="1" t="inlineStr">
        <is>
          <t>BC CHINE  中国采购单  —  LISTE D'ACHAT MICHEL  —  97IMPORT.COM</t>
        </is>
      </c>
    </row>
    <row r="2" ht="16" customHeight="1">
      <c r="A2" s="2" t="inlineStr">
        <is>
          <t>Généré le : {{DATE_GENERATION}}   |   Conteneur : {{REF_CONTENEUR}}   |   Destination : {{DESTINATION}}</t>
        </is>
      </c>
      <c r="Q2" s="3" t="inlineStr">
        <is>
          <t>自动算 Calcul automatique : Volume m³</t>
        </is>
      </c>
    </row>
    <row r="3" ht="18" customHeight="1">
      <c r="A3" s="4" t="inlineStr">
        <is>
          <t>TOTAL LIGNES</t>
        </is>
      </c>
      <c r="B3" s="5">
        <f>COUNTA(A5:A1000)</f>
        <v/>
      </c>
      <c r="C3" s="4" t="inlineStr">
        <is>
          <t>TOTAL COLIS</t>
        </is>
      </c>
      <c r="D3" s="5">
        <f>SUM(F5:F1000)</f>
        <v/>
      </c>
      <c r="E3" s="4" t="inlineStr">
        <is>
          <t>TOTAL PIÈCES</t>
        </is>
      </c>
      <c r="F3" s="5">
        <f>SUM(G5:G1000)</f>
        <v/>
      </c>
      <c r="G3" s="4" t="inlineStr">
        <is>
          <t>VOLUME TOTAL m³</t>
        </is>
      </c>
      <c r="H3" s="5">
        <f>SUM(K5:K1000)</f>
        <v/>
      </c>
      <c r="I3" s="4" t="inlineStr">
        <is>
          <t>POIDS NET TOTAL</t>
        </is>
      </c>
      <c r="J3" s="5">
        <f>SUM(L5:L1000)</f>
        <v/>
      </c>
      <c r="K3" s="4" t="inlineStr">
        <is>
          <t>POIDS BRUT TOTAL</t>
        </is>
      </c>
      <c r="L3" s="5">
        <f>SUM(M5:M1000)</f>
        <v/>
      </c>
    </row>
    <row r="4" ht="36" customHeight="1">
      <c r="A4" s="6" t="inlineStr">
        <is>
          <t>号码
N°</t>
        </is>
      </c>
      <c r="B4" s="6" t="inlineStr">
        <is>
          <t>快递单号
N° Colis envoi</t>
        </is>
      </c>
      <c r="C4" s="6" t="inlineStr">
        <is>
          <t>内部型号
N° Interne</t>
        </is>
      </c>
      <c r="D4" s="6" t="inlineStr">
        <is>
          <t>法语品名
Nom Produit FR</t>
        </is>
      </c>
      <c r="E4" s="6" t="inlineStr">
        <is>
          <t>中文品名
Nom Produit ZH</t>
        </is>
      </c>
      <c r="F4" s="6" t="inlineStr">
        <is>
          <t>件数
Qté Colis</t>
        </is>
      </c>
      <c r="G4" s="6" t="inlineStr">
        <is>
          <t>数量
Qté Pièces Total</t>
        </is>
      </c>
      <c r="H4" s="6" t="inlineStr">
        <is>
          <t>长 Longueur
(cm)</t>
        </is>
      </c>
      <c r="I4" s="6" t="inlineStr">
        <is>
          <t>宽 Largeur
(cm)</t>
        </is>
      </c>
      <c r="J4" s="6" t="inlineStr">
        <is>
          <t>高 Hauteur
(cm)</t>
        </is>
      </c>
      <c r="K4" s="6" t="inlineStr">
        <is>
          <t>体积
Volume (m³)</t>
        </is>
      </c>
      <c r="L4" s="6" t="inlineStr">
        <is>
          <t>净重
Poids Net (kg)</t>
        </is>
      </c>
      <c r="M4" s="6" t="inlineStr">
        <is>
          <t>毛重
Poids Brut (kg)</t>
        </is>
      </c>
      <c r="N4" s="6" t="inlineStr">
        <is>
          <t>英语品名
Nom Produit EN</t>
        </is>
      </c>
      <c r="O4" s="6" t="inlineStr">
        <is>
          <t>品牌
Marque</t>
        </is>
      </c>
      <c r="P4" s="6" t="inlineStr">
        <is>
          <t>厂家款号
Réf. Usine</t>
        </is>
      </c>
      <c r="Q4" s="6" t="inlineStr">
        <is>
          <t>中文材质
Matière ZH</t>
        </is>
      </c>
      <c r="R4" s="6" t="inlineStr">
        <is>
          <t>英语材质
Matière EN</t>
        </is>
      </c>
      <c r="S4" s="6" t="inlineStr">
        <is>
          <t>单价
Prix Achat (¥)</t>
        </is>
      </c>
      <c r="T4" s="6" t="inlineStr">
        <is>
          <t>CE / PDF
Certification</t>
        </is>
      </c>
      <c r="U4" s="6" t="inlineStr">
        <is>
          <t>报价单日期
Date Devis</t>
        </is>
      </c>
      <c r="V4" s="6" t="inlineStr">
        <is>
          <t>报价单号
N° Devis</t>
        </is>
      </c>
      <c r="W4" s="6" t="inlineStr">
        <is>
          <t>客户
Client</t>
        </is>
      </c>
      <c r="X4" s="6" t="inlineStr">
        <is>
          <t>集装箱号
N° Conteneur</t>
        </is>
      </c>
    </row>
    <row r="5">
      <c r="A5" s="7" t="n">
        <v>1</v>
      </c>
      <c r="B5" s="8" t="inlineStr"/>
      <c r="C5" s="8" t="inlineStr">
        <is>
          <t>MP-R18-001</t>
        </is>
      </c>
      <c r="D5" s="8" t="inlineStr">
        <is>
          <t>Mini-pelle R18 — chenille caoutchouc</t>
        </is>
      </c>
      <c r="E5" s="8" t="inlineStr">
        <is>
          <t>挖掘机 R18 — 橡胶履带</t>
        </is>
      </c>
      <c r="F5" s="7" t="n">
        <v>1</v>
      </c>
      <c r="G5" s="7" t="n">
        <v>1</v>
      </c>
      <c r="H5" s="7" t="n">
        <v>280</v>
      </c>
      <c r="I5" s="7" t="n">
        <v>115</v>
      </c>
      <c r="J5" s="7" t="n">
        <v>235</v>
      </c>
      <c r="K5" s="9">
        <f>H5*I5*J5/1000000</f>
        <v/>
      </c>
      <c r="L5" s="7" t="n">
        <v>1800</v>
      </c>
      <c r="M5" s="7" t="n">
        <v>2000</v>
      </c>
      <c r="N5" s="8" t="inlineStr">
        <is>
          <t>Mini excavator R18</t>
        </is>
      </c>
      <c r="O5" s="8" t="inlineStr">
        <is>
          <t>RIPPA</t>
        </is>
      </c>
      <c r="P5" s="8" t="inlineStr">
        <is>
          <t>RP-R18-001</t>
        </is>
      </c>
      <c r="Q5" s="8" t="inlineStr">
        <is>
          <t>钢铁+橡胶</t>
        </is>
      </c>
      <c r="R5" s="8" t="inlineStr">
        <is>
          <t>Steel+rubber</t>
        </is>
      </c>
      <c r="S5" s="10" t="n">
        <v>42000</v>
      </c>
      <c r="T5" s="8" t="inlineStr">
        <is>
          <t>CE</t>
        </is>
      </c>
      <c r="U5" s="8" t="inlineStr">
        <is>
          <t>2026-04-01</t>
        </is>
      </c>
      <c r="V5" s="8" t="inlineStr">
        <is>
          <t>D2604001</t>
        </is>
      </c>
      <c r="W5" s="8" t="inlineStr">
        <is>
          <t>Client Dupont MQ</t>
        </is>
      </c>
      <c r="X5" s="8" t="inlineStr">
        <is>
          <t>CTN-2604-001</t>
        </is>
      </c>
    </row>
    <row r="6">
      <c r="A6" s="11" t="n">
        <v>2</v>
      </c>
      <c r="B6" s="12" t="inlineStr"/>
      <c r="C6" s="12" t="inlineStr">
        <is>
          <t>MS-20-001</t>
        </is>
      </c>
      <c r="D6" s="12" t="inlineStr">
        <is>
          <t>Maison modulaire studio 20m²</t>
        </is>
      </c>
      <c r="E6" s="12" t="inlineStr">
        <is>
          <t>集装箱活动房 20平方</t>
        </is>
      </c>
      <c r="F6" s="11" t="n">
        <v>1</v>
      </c>
      <c r="G6" s="11" t="n">
        <v>1</v>
      </c>
      <c r="H6" s="11" t="n">
        <v>600</v>
      </c>
      <c r="I6" s="11" t="n">
        <v>300</v>
      </c>
      <c r="J6" s="11" t="n">
        <v>280</v>
      </c>
      <c r="K6" s="9">
        <f>H6*I6*J6/1000000</f>
        <v/>
      </c>
      <c r="L6" s="11" t="n">
        <v>2200</v>
      </c>
      <c r="M6" s="11" t="n">
        <v>2500</v>
      </c>
      <c r="N6" s="12" t="inlineStr">
        <is>
          <t>Modular house 20sqm</t>
        </is>
      </c>
      <c r="O6" s="12" t="inlineStr">
        <is>
          <t>Sans marque</t>
        </is>
      </c>
      <c r="P6" s="12" t="inlineStr">
        <is>
          <t>MS-20-001</t>
        </is>
      </c>
      <c r="Q6" s="12" t="inlineStr">
        <is>
          <t>镀锌钢+夹芯板</t>
        </is>
      </c>
      <c r="R6" s="12" t="inlineStr">
        <is>
          <t>Galvanized steel</t>
        </is>
      </c>
      <c r="S6" s="10" t="n">
        <v>18000</v>
      </c>
      <c r="T6" s="12" t="inlineStr">
        <is>
          <t>Non applicable</t>
        </is>
      </c>
      <c r="U6" s="12" t="inlineStr">
        <is>
          <t>2026-04-02</t>
        </is>
      </c>
      <c r="V6" s="12" t="inlineStr">
        <is>
          <t>D2604003</t>
        </is>
      </c>
      <c r="W6" s="12" t="inlineStr">
        <is>
          <t>Client Martin GP</t>
        </is>
      </c>
      <c r="X6" s="12" t="inlineStr">
        <is>
          <t>CTN-2604-001</t>
        </is>
      </c>
    </row>
    <row r="7">
      <c r="A7" s="7" t="n">
        <v>3</v>
      </c>
      <c r="B7" s="8" t="inlineStr"/>
      <c r="C7" s="8" t="inlineStr">
        <is>
          <t>LOG-CTN-2604-001</t>
        </is>
      </c>
      <c r="D7" s="8" t="inlineStr">
        <is>
          <t>Frais logistiques 40HC MQ</t>
        </is>
      </c>
      <c r="E7" s="8" t="inlineStr">
        <is>
          <t>物流费用 40HC 马提尼克</t>
        </is>
      </c>
      <c r="F7" s="7" t="n">
        <v>1</v>
      </c>
      <c r="G7" s="7" t="n">
        <v>1</v>
      </c>
      <c r="H7" s="7" t="inlineStr"/>
      <c r="I7" s="7" t="inlineStr"/>
      <c r="J7" s="7" t="inlineStr"/>
      <c r="K7" s="9" t="inlineStr"/>
      <c r="L7" s="7" t="inlineStr"/>
      <c r="M7" s="7" t="inlineStr"/>
      <c r="N7" s="8" t="inlineStr">
        <is>
          <t>Logistics 40HC MQ</t>
        </is>
      </c>
      <c r="O7" s="8" t="inlineStr">
        <is>
          <t>CMA CGM</t>
        </is>
      </c>
      <c r="P7" s="8" t="inlineStr"/>
      <c r="Q7" s="8" t="inlineStr"/>
      <c r="R7" s="8" t="inlineStr"/>
      <c r="S7" s="10" t="n">
        <v>7110</v>
      </c>
      <c r="T7" s="8" t="inlineStr"/>
      <c r="U7" s="8" t="inlineStr">
        <is>
          <t>2026-04-10</t>
        </is>
      </c>
      <c r="V7" s="8" t="inlineStr">
        <is>
          <t>ADMIN-STOCK</t>
        </is>
      </c>
      <c r="W7" s="8" t="inlineStr">
        <is>
          <t>ADMIN-STOCK</t>
        </is>
      </c>
      <c r="X7" s="8" t="inlineStr">
        <is>
          <t>CTN-2604-001</t>
        </is>
      </c>
    </row>
    <row r="9">
      <c r="A9" s="13" t="inlineStr">
        <is>
          <t>⚠  Colonnes en jaune = modifiables manuellement avant export  |  Volume (K) calculé automatiquement  |  BC CHINE = Usage INTERNE uniquement — ne pas diffuser</t>
        </is>
      </c>
    </row>
  </sheetData>
  <mergeCells count="10">
    <mergeCell ref="K3"/>
    <mergeCell ref="A9:X9"/>
    <mergeCell ref="C3"/>
    <mergeCell ref="A3"/>
    <mergeCell ref="G3"/>
    <mergeCell ref="E3"/>
    <mergeCell ref="Q2:X2"/>
    <mergeCell ref="I3"/>
    <mergeCell ref="A1:X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2026-04-10T10:53:36Z</dcterms:created>
  <dcterms:modified xmlns:dcterms="http://purl.org/dc/terms/" xmlns:xsi="http://www.w3.org/2001/XMLSchema-instance" xsi:type="dcterms:W3CDTF">2026-04-10T10:53:36Z</dcterms:modified>
</cp:coreProperties>
</file>