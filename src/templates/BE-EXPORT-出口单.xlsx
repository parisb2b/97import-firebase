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 EXPORT 出口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74151"/>
      <sz val="9"/>
    </font>
    <font>
      <name val="Arial"/>
      <b val="1"/>
      <color rgb="00FFFFFF"/>
      <sz val="8"/>
    </font>
    <font>
      <name val="Arial"/>
      <b val="1"/>
      <color rgb="00EA580C"/>
      <sz val="9"/>
    </font>
    <font>
      <name val="Arial"/>
      <color rgb="00000000"/>
      <sz val="9"/>
    </font>
    <font>
      <name val="Arial"/>
      <i val="1"/>
      <color rgb="000F6E56"/>
      <sz val="9"/>
    </font>
    <font>
      <name val="Arial"/>
      <b val="1"/>
      <color rgb="001E3A5F"/>
      <sz val="9"/>
    </font>
    <font>
      <name val="Arial"/>
      <i val="1"/>
      <color rgb="0092400E"/>
      <sz val="8"/>
    </font>
  </fonts>
  <fills count="8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FF9C4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EF3E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26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26" customWidth="1" min="13" max="13"/>
    <col width="12" customWidth="1" min="14" max="14"/>
    <col width="16" customWidth="1" min="15" max="15"/>
    <col width="18" customWidth="1" min="16" max="16"/>
    <col width="18" customWidth="1" min="17" max="17"/>
    <col width="13" customWidth="1" min="18" max="18"/>
    <col width="13" customWidth="1" min="19" max="19"/>
    <col width="13" customWidth="1" min="20" max="20"/>
    <col width="12" customWidth="1" min="21" max="21"/>
    <col width="42" customWidth="1" min="22" max="22"/>
  </cols>
  <sheetData>
    <row r="1" ht="28" customHeight="1">
      <c r="A1" s="1" t="inlineStr">
        <is>
          <t>BE EXPORT  出口单  —  DOUANE CHINOISE  —  97IMPORT.COM</t>
        </is>
      </c>
    </row>
    <row r="2" ht="16" customHeight="1">
      <c r="A2" s="2" t="inlineStr">
        <is>
          <t>Généré le : {{DATE_GENERATION}}   |   Conteneur : {{REF_CONTENEUR}}   |   Destination : {{DESTINATION}}   |   Type : {{TYPE_CONTENEUR}}</t>
        </is>
      </c>
    </row>
    <row r="3" ht="18" customHeight="1">
      <c r="A3" s="3" t="inlineStr">
        <is>
          <t>TOTAL LIGNES</t>
        </is>
      </c>
      <c r="B3" s="4">
        <f>COUNTA(A5:A1000)</f>
        <v/>
      </c>
      <c r="C3" s="3" t="inlineStr">
        <is>
          <t>TOTAL PIÈCES</t>
        </is>
      </c>
      <c r="D3" s="4">
        <f>SUM(F5:F1000)</f>
        <v/>
      </c>
      <c r="E3" s="3" t="inlineStr">
        <is>
          <t>VOLUME TOTAL m³</t>
        </is>
      </c>
      <c r="F3" s="4">
        <f>SUM(J5:J1000)</f>
        <v/>
      </c>
      <c r="G3" s="3" t="inlineStr">
        <is>
          <t>POIDS NET TOTAL</t>
        </is>
      </c>
      <c r="H3" s="4">
        <f>SUM(K5:K1000)</f>
        <v/>
      </c>
    </row>
    <row r="4" ht="36" customHeight="1">
      <c r="A4" s="5" t="inlineStr">
        <is>
          <t>号码
N°</t>
        </is>
      </c>
      <c r="B4" s="5" t="inlineStr">
        <is>
          <t>内部型号
N° Interne</t>
        </is>
      </c>
      <c r="C4" s="5" t="inlineStr">
        <is>
          <t>中文品名
Nom ZH</t>
        </is>
      </c>
      <c r="D4" s="5" t="inlineStr">
        <is>
          <t>法语品名
Nom FR</t>
        </is>
      </c>
      <c r="E4" s="5" t="inlineStr">
        <is>
          <t>件数
Qté Colis</t>
        </is>
      </c>
      <c r="F4" s="5" t="inlineStr">
        <is>
          <t>数量
Qté Pièces</t>
        </is>
      </c>
      <c r="G4" s="5" t="inlineStr">
        <is>
          <t>长 L
(cm)</t>
        </is>
      </c>
      <c r="H4" s="5" t="inlineStr">
        <is>
          <t>宽 l
(cm)</t>
        </is>
      </c>
      <c r="I4" s="5" t="inlineStr">
        <is>
          <t>高 H
(cm)</t>
        </is>
      </c>
      <c r="J4" s="5" t="inlineStr">
        <is>
          <t>体积
Volume m³</t>
        </is>
      </c>
      <c r="K4" s="5" t="inlineStr">
        <is>
          <t>净重
Poids Net kg</t>
        </is>
      </c>
      <c r="L4" s="5" t="inlineStr">
        <is>
          <t>毛重
Poids Brut kg</t>
        </is>
      </c>
      <c r="M4" s="5" t="inlineStr">
        <is>
          <t>英语品名
Nom EN</t>
        </is>
      </c>
      <c r="N4" s="5" t="inlineStr">
        <is>
          <t>品牌
Marque</t>
        </is>
      </c>
      <c r="O4" s="5" t="inlineStr">
        <is>
          <t>厂家款号
Réf. Usine</t>
        </is>
      </c>
      <c r="P4" s="5" t="inlineStr">
        <is>
          <t>中文材质
Matière ZH</t>
        </is>
      </c>
      <c r="Q4" s="5" t="inlineStr">
        <is>
          <t>英语材质
Matière EN</t>
        </is>
      </c>
      <c r="R4" s="5" t="inlineStr">
        <is>
          <t>单价
Prix (¥)</t>
        </is>
      </c>
      <c r="S4" s="5" t="inlineStr">
        <is>
          <t>CE / PDF
Cert.</t>
        </is>
      </c>
      <c r="T4" s="5" t="inlineStr">
        <is>
          <t>海关代码
Code HS</t>
        </is>
      </c>
      <c r="U4" s="5" t="inlineStr">
        <is>
          <t>城市
Ville Origine CN</t>
        </is>
      </c>
      <c r="V4" s="5" t="inlineStr">
        <is>
          <t>用途
Usage / Description CN</t>
        </is>
      </c>
    </row>
    <row r="5">
      <c r="A5" s="6" t="n">
        <v>1</v>
      </c>
      <c r="B5" s="6" t="inlineStr">
        <is>
          <t>MP-R18-001</t>
        </is>
      </c>
      <c r="C5" s="6" t="inlineStr">
        <is>
          <t>挖掘机 R18 — 橡胶履带</t>
        </is>
      </c>
      <c r="D5" s="6" t="inlineStr">
        <is>
          <t>Mini-pelle R18</t>
        </is>
      </c>
      <c r="E5" s="6" t="n">
        <v>1</v>
      </c>
      <c r="F5" s="6" t="n">
        <v>1</v>
      </c>
      <c r="G5" s="6" t="n">
        <v>280</v>
      </c>
      <c r="H5" s="6" t="n">
        <v>115</v>
      </c>
      <c r="I5" s="6" t="n">
        <v>235</v>
      </c>
      <c r="J5" s="7">
        <f>G5*H5*I5/1000000</f>
        <v/>
      </c>
      <c r="K5" s="6" t="n">
        <v>1800</v>
      </c>
      <c r="L5" s="6" t="n">
        <v>2000</v>
      </c>
      <c r="M5" s="6" t="inlineStr">
        <is>
          <t>Mini excavator R18</t>
        </is>
      </c>
      <c r="N5" s="6" t="inlineStr">
        <is>
          <t>RIPPA</t>
        </is>
      </c>
      <c r="O5" s="6" t="inlineStr">
        <is>
          <t>RP-R18-001</t>
        </is>
      </c>
      <c r="P5" s="6" t="inlineStr">
        <is>
          <t>钢铁+橡胶</t>
        </is>
      </c>
      <c r="Q5" s="6" t="inlineStr">
        <is>
          <t>Steel+rubber</t>
        </is>
      </c>
      <c r="R5" s="8" t="n">
        <v>42000</v>
      </c>
      <c r="S5" s="6" t="inlineStr">
        <is>
          <t>CE</t>
        </is>
      </c>
      <c r="T5" s="6" t="inlineStr">
        <is>
          <t>8429.5200</t>
        </is>
      </c>
      <c r="U5" s="6" t="inlineStr">
        <is>
          <t>重庆市</t>
        </is>
      </c>
      <c r="V5" s="9" t="inlineStr">
        <is>
          <t>小型挖掘机 品名：小型履带式挖掘机 无品牌 用途：用于农业及建筑小型土方作业 主要材质：钢铁+橡胶</t>
        </is>
      </c>
    </row>
    <row r="6">
      <c r="A6" s="10" t="n">
        <v>2</v>
      </c>
      <c r="B6" s="10" t="inlineStr">
        <is>
          <t>MS-20-001</t>
        </is>
      </c>
      <c r="C6" s="10" t="inlineStr">
        <is>
          <t>集装箱活动房 20平方</t>
        </is>
      </c>
      <c r="D6" s="10" t="inlineStr">
        <is>
          <t>Maison modulaire 20m²</t>
        </is>
      </c>
      <c r="E6" s="10" t="n">
        <v>1</v>
      </c>
      <c r="F6" s="10" t="n">
        <v>1</v>
      </c>
      <c r="G6" s="10" t="n">
        <v>600</v>
      </c>
      <c r="H6" s="10" t="n">
        <v>300</v>
      </c>
      <c r="I6" s="10" t="n">
        <v>280</v>
      </c>
      <c r="J6" s="7">
        <f>G6*H6*I6/1000000</f>
        <v/>
      </c>
      <c r="K6" s="10" t="n">
        <v>2200</v>
      </c>
      <c r="L6" s="10" t="n">
        <v>2500</v>
      </c>
      <c r="M6" s="10" t="inlineStr">
        <is>
          <t>Modular house 20sqm</t>
        </is>
      </c>
      <c r="N6" s="10" t="inlineStr">
        <is>
          <t>Sans marque</t>
        </is>
      </c>
      <c r="O6" s="10" t="inlineStr">
        <is>
          <t>MS-20-001</t>
        </is>
      </c>
      <c r="P6" s="10" t="inlineStr">
        <is>
          <t>镀锌钢+夹芯板</t>
        </is>
      </c>
      <c r="Q6" s="10" t="inlineStr">
        <is>
          <t>Galvanized steel</t>
        </is>
      </c>
      <c r="R6" s="8" t="n">
        <v>18000</v>
      </c>
      <c r="S6" s="10" t="inlineStr">
        <is>
          <t>Non appl.</t>
        </is>
      </c>
      <c r="T6" s="10" t="inlineStr">
        <is>
          <t>9406.9090</t>
        </is>
      </c>
      <c r="U6" s="10" t="inlineStr">
        <is>
          <t>上海市</t>
        </is>
      </c>
      <c r="V6" s="11" t="inlineStr">
        <is>
          <t>集装箱活动房 品名：轻钢结构活动板房 无品牌 用途：用于临时或永久居住</t>
        </is>
      </c>
    </row>
    <row r="8">
      <c r="A8" s="12" t="inlineStr">
        <is>
          <t>⚠  BE EXPORT = DOUANE CHINOISE — sans N° Colis, sans N° Conteneur  |  Prix (R) modifiable  |  Volume (J) auto  |  Colonne V (用途) = description technique longue pour déclaration douanière</t>
        </is>
      </c>
    </row>
  </sheetData>
  <mergeCells count="3">
    <mergeCell ref="A2:V2"/>
    <mergeCell ref="A1:V1"/>
    <mergeCell ref="A8:V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2026-04-10T10:53:36Z</dcterms:created>
  <dcterms:modified xmlns:dcterms="http://purl.org/dc/terms/" xmlns:xsi="http://www.w3.org/2001/XMLSchema-instance" xsi:type="dcterms:W3CDTF">2026-04-10T10:53:36Z</dcterms:modified>
</cp:coreProperties>
</file>